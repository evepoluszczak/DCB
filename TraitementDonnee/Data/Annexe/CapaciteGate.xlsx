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.tld\aig\O\12_EM-DO\4_OOP\10_PERSONAL_FOLDERS\8_BASTIEN\DCB_Standalone_App\Data Source\Capacite\Aeroport\Historique\Gate\"/>
    </mc:Choice>
  </mc:AlternateContent>
  <xr:revisionPtr revIDLastSave="0" documentId="13_ncr:1_{BF199AA6-26DA-407C-BC62-EEF97AA3E90A}" xr6:coauthVersionLast="47" xr6:coauthVersionMax="47" xr10:uidLastSave="{00000000-0000-0000-0000-000000000000}"/>
  <bookViews>
    <workbookView xWindow="-120" yWindow="-120" windowWidth="51840" windowHeight="21240" xr2:uid="{DC68B38C-B4BB-4D8D-AE70-1928F5FAE18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E57" i="1"/>
  <c r="C57" i="1"/>
  <c r="D52" i="1"/>
  <c r="F52" i="1" s="1"/>
  <c r="G52" i="1" s="1"/>
  <c r="H52" i="1" s="1"/>
  <c r="D51" i="1"/>
  <c r="F51" i="1" s="1"/>
  <c r="G51" i="1" s="1"/>
  <c r="H51" i="1" s="1"/>
  <c r="D50" i="1"/>
  <c r="F50" i="1" s="1"/>
  <c r="G50" i="1" s="1"/>
  <c r="H50" i="1" s="1"/>
  <c r="E56" i="1"/>
  <c r="C56" i="1"/>
  <c r="D49" i="1"/>
  <c r="F49" i="1" s="1"/>
  <c r="G49" i="1" s="1"/>
  <c r="H49" i="1" s="1"/>
  <c r="D48" i="1"/>
  <c r="F48" i="1" s="1"/>
  <c r="G48" i="1" s="1"/>
  <c r="H48" i="1" s="1"/>
  <c r="D47" i="1"/>
  <c r="F47" i="1" s="1"/>
  <c r="G47" i="1" s="1"/>
  <c r="H47" i="1" s="1"/>
  <c r="E55" i="1"/>
  <c r="C55" i="1"/>
  <c r="D46" i="1"/>
  <c r="F46" i="1" s="1"/>
  <c r="G46" i="1" s="1"/>
  <c r="H46" i="1" s="1"/>
  <c r="D45" i="1"/>
  <c r="F45" i="1" s="1"/>
  <c r="G45" i="1" s="1"/>
  <c r="H45" i="1" s="1"/>
  <c r="D44" i="1"/>
  <c r="F44" i="1" s="1"/>
  <c r="G44" i="1" s="1"/>
  <c r="H44" i="1" s="1"/>
  <c r="D43" i="1"/>
  <c r="F43" i="1" s="1"/>
  <c r="G43" i="1" s="1"/>
  <c r="H43" i="1" s="1"/>
  <c r="D42" i="1"/>
  <c r="F42" i="1" s="1"/>
  <c r="G42" i="1" s="1"/>
  <c r="H42" i="1" s="1"/>
  <c r="E54" i="1"/>
  <c r="C54" i="1"/>
  <c r="D54" i="1" s="1"/>
  <c r="D41" i="1"/>
  <c r="F41" i="1" s="1"/>
  <c r="G41" i="1" s="1"/>
  <c r="H41" i="1" s="1"/>
  <c r="D40" i="1"/>
  <c r="F40" i="1" s="1"/>
  <c r="G40" i="1" s="1"/>
  <c r="H40" i="1" s="1"/>
  <c r="E53" i="1"/>
  <c r="C53" i="1"/>
  <c r="D53" i="1" s="1"/>
  <c r="D39" i="1"/>
  <c r="F39" i="1" s="1"/>
  <c r="G39" i="1" s="1"/>
  <c r="H39" i="1" s="1"/>
  <c r="D38" i="1"/>
  <c r="F38" i="1" s="1"/>
  <c r="G38" i="1" s="1"/>
  <c r="H38" i="1" s="1"/>
  <c r="D37" i="1"/>
  <c r="F37" i="1" s="1"/>
  <c r="G37" i="1" s="1"/>
  <c r="H37" i="1" s="1"/>
  <c r="F36" i="1"/>
  <c r="G36" i="1" s="1"/>
  <c r="H36" i="1" s="1"/>
  <c r="D35" i="1"/>
  <c r="F35" i="1" s="1"/>
  <c r="G35" i="1" s="1"/>
  <c r="H35" i="1" s="1"/>
  <c r="D34" i="1"/>
  <c r="F34" i="1" s="1"/>
  <c r="G34" i="1" s="1"/>
  <c r="H34" i="1" s="1"/>
  <c r="D20" i="1"/>
  <c r="F20" i="1" s="1"/>
  <c r="G20" i="1" s="1"/>
  <c r="H20" i="1" s="1"/>
  <c r="D21" i="1"/>
  <c r="F21" i="1" s="1"/>
  <c r="G21" i="1" s="1"/>
  <c r="H21" i="1" s="1"/>
  <c r="D22" i="1"/>
  <c r="F22" i="1" s="1"/>
  <c r="G22" i="1" s="1"/>
  <c r="H22" i="1" s="1"/>
  <c r="E27" i="1"/>
  <c r="C27" i="1"/>
  <c r="D17" i="1"/>
  <c r="F17" i="1" s="1"/>
  <c r="G17" i="1" s="1"/>
  <c r="H17" i="1" s="1"/>
  <c r="D18" i="1"/>
  <c r="F18" i="1" s="1"/>
  <c r="G18" i="1" s="1"/>
  <c r="H18" i="1" s="1"/>
  <c r="D19" i="1"/>
  <c r="F19" i="1" s="1"/>
  <c r="G19" i="1" s="1"/>
  <c r="H19" i="1" s="1"/>
  <c r="E26" i="1"/>
  <c r="C26" i="1"/>
  <c r="D26" i="1" s="1"/>
  <c r="D12" i="1"/>
  <c r="F12" i="1" s="1"/>
  <c r="G12" i="1" s="1"/>
  <c r="H12" i="1" s="1"/>
  <c r="D13" i="1"/>
  <c r="F13" i="1" s="1"/>
  <c r="G13" i="1" s="1"/>
  <c r="H13" i="1" s="1"/>
  <c r="D14" i="1"/>
  <c r="F14" i="1" s="1"/>
  <c r="G14" i="1" s="1"/>
  <c r="H14" i="1" s="1"/>
  <c r="D15" i="1"/>
  <c r="F15" i="1" s="1"/>
  <c r="G15" i="1" s="1"/>
  <c r="H15" i="1" s="1"/>
  <c r="D16" i="1"/>
  <c r="F16" i="1" s="1"/>
  <c r="G16" i="1" s="1"/>
  <c r="H16" i="1" s="1"/>
  <c r="E25" i="1"/>
  <c r="C25" i="1"/>
  <c r="D25" i="1" s="1"/>
  <c r="F25" i="1" s="1"/>
  <c r="G25" i="1" s="1"/>
  <c r="H25" i="1" s="1"/>
  <c r="E24" i="1"/>
  <c r="C24" i="1"/>
  <c r="D5" i="1"/>
  <c r="F5" i="1" s="1"/>
  <c r="G5" i="1" s="1"/>
  <c r="H5" i="1" s="1"/>
  <c r="D6" i="1"/>
  <c r="F6" i="1" s="1"/>
  <c r="G6" i="1" s="1"/>
  <c r="H6" i="1" s="1"/>
  <c r="D7" i="1"/>
  <c r="F7" i="1" s="1"/>
  <c r="G7" i="1" s="1"/>
  <c r="H7" i="1" s="1"/>
  <c r="D8" i="1"/>
  <c r="F8" i="1" s="1"/>
  <c r="G8" i="1" s="1"/>
  <c r="H8" i="1" s="1"/>
  <c r="D9" i="1"/>
  <c r="F9" i="1" s="1"/>
  <c r="G9" i="1" s="1"/>
  <c r="H9" i="1" s="1"/>
  <c r="D10" i="1"/>
  <c r="F10" i="1" s="1"/>
  <c r="G10" i="1" s="1"/>
  <c r="H10" i="1" s="1"/>
  <c r="D11" i="1"/>
  <c r="F11" i="1" s="1"/>
  <c r="G11" i="1" s="1"/>
  <c r="H11" i="1" s="1"/>
  <c r="C23" i="1"/>
  <c r="D4" i="1"/>
  <c r="E23" i="1"/>
  <c r="E58" i="1" l="1"/>
  <c r="E28" i="1"/>
  <c r="C58" i="1"/>
  <c r="D58" i="1" s="1"/>
  <c r="F58" i="1" s="1"/>
  <c r="G58" i="1" s="1"/>
  <c r="H58" i="1" s="1"/>
  <c r="C28" i="1"/>
  <c r="D28" i="1" s="1"/>
  <c r="F53" i="1"/>
  <c r="G53" i="1" s="1"/>
  <c r="H53" i="1" s="1"/>
  <c r="D27" i="1"/>
  <c r="F27" i="1" s="1"/>
  <c r="G27" i="1" s="1"/>
  <c r="H27" i="1" s="1"/>
  <c r="D24" i="1"/>
  <c r="F24" i="1" s="1"/>
  <c r="G24" i="1" s="1"/>
  <c r="H24" i="1" s="1"/>
  <c r="D23" i="1"/>
  <c r="F23" i="1" s="1"/>
  <c r="G23" i="1" s="1"/>
  <c r="H23" i="1" s="1"/>
  <c r="F54" i="1"/>
  <c r="G54" i="1" s="1"/>
  <c r="H54" i="1" s="1"/>
  <c r="D55" i="1"/>
  <c r="F55" i="1" s="1"/>
  <c r="G55" i="1" s="1"/>
  <c r="H55" i="1" s="1"/>
  <c r="D56" i="1"/>
  <c r="F56" i="1" s="1"/>
  <c r="G56" i="1" s="1"/>
  <c r="H56" i="1" s="1"/>
  <c r="D57" i="1"/>
  <c r="F57" i="1" s="1"/>
  <c r="G57" i="1" s="1"/>
  <c r="H57" i="1" s="1"/>
  <c r="F26" i="1"/>
  <c r="G26" i="1" s="1"/>
  <c r="H26" i="1" s="1"/>
  <c r="F4" i="1"/>
  <c r="G4" i="1" s="1"/>
  <c r="F28" i="1" l="1"/>
  <c r="G28" i="1" s="1"/>
  <c r="H28" i="1" s="1"/>
  <c r="H4" i="1"/>
</calcChain>
</file>

<file path=xl/sharedStrings.xml><?xml version="1.0" encoding="utf-8"?>
<sst xmlns="http://schemas.openxmlformats.org/spreadsheetml/2006/main" count="68" uniqueCount="36">
  <si>
    <t>Zone</t>
  </si>
  <si>
    <t>Sièges</t>
  </si>
  <si>
    <t>A1-2</t>
  </si>
  <si>
    <t>A3</t>
  </si>
  <si>
    <t>A4-5</t>
  </si>
  <si>
    <t>A6-7</t>
  </si>
  <si>
    <t>A8</t>
  </si>
  <si>
    <t>A9-10</t>
  </si>
  <si>
    <t>A</t>
  </si>
  <si>
    <t>Personnes debout</t>
  </si>
  <si>
    <t>Surface totale</t>
  </si>
  <si>
    <t>Surface debout</t>
  </si>
  <si>
    <t>Surface 1 siège</t>
  </si>
  <si>
    <t>Surface 1 debout</t>
  </si>
  <si>
    <t>Surface sièges</t>
  </si>
  <si>
    <t>Personnes totales</t>
  </si>
  <si>
    <t>B31-34</t>
  </si>
  <si>
    <t>B41-44</t>
  </si>
  <si>
    <t>B</t>
  </si>
  <si>
    <t>C51-52</t>
  </si>
  <si>
    <t>C53-54</t>
  </si>
  <si>
    <t>C55</t>
  </si>
  <si>
    <t>C56</t>
  </si>
  <si>
    <t>C57-63</t>
  </si>
  <si>
    <t>C</t>
  </si>
  <si>
    <t>D21-27</t>
  </si>
  <si>
    <t>D</t>
  </si>
  <si>
    <t>E/F12</t>
  </si>
  <si>
    <t>E/F</t>
  </si>
  <si>
    <t>E/F14-17</t>
  </si>
  <si>
    <t>Actuel</t>
  </si>
  <si>
    <t>Futur</t>
  </si>
  <si>
    <t>Total</t>
  </si>
  <si>
    <t>D71-74/81-84</t>
  </si>
  <si>
    <t>D75-76/85-86</t>
  </si>
  <si>
    <t>E/F10-11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</si>
</sst>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A75E1-7E24-4F67-96BF-ECB9E58148EC}">
  <dimension ref="A3:K58"/>
  <sheetViews>
    <sheetView tabSelected="1" workbookViewId="0">
      <selection activeCell="B50" sqref="B50"/>
    </sheetView>
  </sheetViews>
  <sheetFormatPr baseColWidth="10" defaultRowHeight="14.25" x14ac:dyDescent="0.2"/>
  <cols>
    <col min="2" max="2" width="12" bestFit="1" customWidth="1"/>
    <col min="4" max="5" width="12.125" bestFit="1" customWidth="1"/>
    <col min="6" max="6" width="13.25" bestFit="1" customWidth="1"/>
    <col min="7" max="7" width="15.75" bestFit="1" customWidth="1"/>
    <col min="8" max="8" width="15.625" bestFit="1" customWidth="1"/>
    <col min="10" max="10" width="13.625" bestFit="1" customWidth="1"/>
    <col min="11" max="11" width="14.75" bestFit="1" customWidth="1"/>
  </cols>
  <sheetData>
    <row r="3" spans="1:11" x14ac:dyDescent="0.2">
      <c r="A3" t="s">
        <v>30</v>
      </c>
      <c r="B3" t="s">
        <v>0</v>
      </c>
      <c r="C3" t="s">
        <v>1</v>
      </c>
      <c r="D3" t="s">
        <v>14</v>
      </c>
      <c r="E3" t="s">
        <v>10</v>
      </c>
      <c r="F3" t="s">
        <v>11</v>
      </c>
      <c r="G3" t="s">
        <v>9</v>
      </c>
      <c r="H3" t="s">
        <v>15</v>
      </c>
      <c r="J3" t="s">
        <v>12</v>
      </c>
      <c r="K3" t="s">
        <v>13</v>
      </c>
    </row>
    <row r="4" spans="1:11" x14ac:dyDescent="0.2">
      <c r="B4" t="s">
        <v>2</v>
      </c>
      <c r="C4">
        <v>148</v>
      </c>
      <c r="D4">
        <f>$J$4*C4</f>
        <v>266.40000000000003</v>
      </c>
      <c r="E4">
        <v>550</v>
      </c>
      <c r="F4">
        <f>E4-D4</f>
        <v>283.59999999999997</v>
      </c>
      <c r="G4">
        <f>ROUND(F4/$K$4,0)</f>
        <v>236</v>
      </c>
      <c r="H4">
        <f>C4+G4</f>
        <v>384</v>
      </c>
      <c r="J4">
        <v>1.8</v>
      </c>
      <c r="K4">
        <v>1.2</v>
      </c>
    </row>
    <row r="5" spans="1:11" x14ac:dyDescent="0.2">
      <c r="B5" t="s">
        <v>3</v>
      </c>
      <c r="C5">
        <v>127</v>
      </c>
      <c r="D5">
        <f t="shared" ref="D5:D28" si="0">$J$4*C5</f>
        <v>228.6</v>
      </c>
      <c r="E5">
        <v>347</v>
      </c>
      <c r="F5">
        <f t="shared" ref="F5:F28" si="1">E5-D5</f>
        <v>118.4</v>
      </c>
      <c r="G5">
        <f t="shared" ref="G5:G28" si="2">ROUND(F5/$K$4,0)</f>
        <v>99</v>
      </c>
      <c r="H5">
        <f t="shared" ref="H5:H28" si="3">C5+G5</f>
        <v>226</v>
      </c>
    </row>
    <row r="6" spans="1:11" x14ac:dyDescent="0.2">
      <c r="B6" t="s">
        <v>4</v>
      </c>
      <c r="C6">
        <v>198</v>
      </c>
      <c r="D6">
        <f t="shared" si="0"/>
        <v>356.40000000000003</v>
      </c>
      <c r="E6">
        <v>430</v>
      </c>
      <c r="F6">
        <f t="shared" si="1"/>
        <v>73.599999999999966</v>
      </c>
      <c r="G6">
        <f t="shared" si="2"/>
        <v>61</v>
      </c>
      <c r="H6">
        <f t="shared" si="3"/>
        <v>259</v>
      </c>
    </row>
    <row r="7" spans="1:11" x14ac:dyDescent="0.2">
      <c r="B7" t="s">
        <v>5</v>
      </c>
      <c r="C7">
        <v>148</v>
      </c>
      <c r="D7">
        <f t="shared" si="0"/>
        <v>266.40000000000003</v>
      </c>
      <c r="E7">
        <v>478</v>
      </c>
      <c r="F7">
        <f t="shared" si="1"/>
        <v>211.59999999999997</v>
      </c>
      <c r="G7">
        <f t="shared" si="2"/>
        <v>176</v>
      </c>
      <c r="H7">
        <f t="shared" si="3"/>
        <v>324</v>
      </c>
    </row>
    <row r="8" spans="1:11" x14ac:dyDescent="0.2">
      <c r="B8" t="s">
        <v>6</v>
      </c>
      <c r="C8">
        <v>144</v>
      </c>
      <c r="D8">
        <f t="shared" si="0"/>
        <v>259.2</v>
      </c>
      <c r="E8">
        <v>384</v>
      </c>
      <c r="F8">
        <f t="shared" si="1"/>
        <v>124.80000000000001</v>
      </c>
      <c r="G8">
        <f t="shared" si="2"/>
        <v>104</v>
      </c>
      <c r="H8">
        <f t="shared" si="3"/>
        <v>248</v>
      </c>
    </row>
    <row r="9" spans="1:11" x14ac:dyDescent="0.2">
      <c r="B9" t="s">
        <v>7</v>
      </c>
      <c r="C9">
        <v>322</v>
      </c>
      <c r="D9">
        <f t="shared" si="0"/>
        <v>579.6</v>
      </c>
      <c r="E9">
        <v>765</v>
      </c>
      <c r="F9">
        <f t="shared" si="1"/>
        <v>185.39999999999998</v>
      </c>
      <c r="G9">
        <f t="shared" si="2"/>
        <v>155</v>
      </c>
      <c r="H9">
        <f t="shared" si="3"/>
        <v>477</v>
      </c>
    </row>
    <row r="10" spans="1:11" x14ac:dyDescent="0.2">
      <c r="B10" t="s">
        <v>16</v>
      </c>
      <c r="C10">
        <v>114</v>
      </c>
      <c r="D10">
        <f t="shared" si="0"/>
        <v>205.20000000000002</v>
      </c>
      <c r="E10">
        <v>458</v>
      </c>
      <c r="F10">
        <f t="shared" si="1"/>
        <v>252.79999999999998</v>
      </c>
      <c r="G10">
        <f t="shared" si="2"/>
        <v>211</v>
      </c>
      <c r="H10">
        <f t="shared" si="3"/>
        <v>325</v>
      </c>
    </row>
    <row r="11" spans="1:11" x14ac:dyDescent="0.2">
      <c r="B11" t="s">
        <v>17</v>
      </c>
      <c r="C11">
        <v>142</v>
      </c>
      <c r="D11">
        <f t="shared" si="0"/>
        <v>255.6</v>
      </c>
      <c r="E11">
        <v>458</v>
      </c>
      <c r="F11">
        <f t="shared" si="1"/>
        <v>202.4</v>
      </c>
      <c r="G11">
        <f t="shared" si="2"/>
        <v>169</v>
      </c>
      <c r="H11">
        <f t="shared" si="3"/>
        <v>311</v>
      </c>
    </row>
    <row r="12" spans="1:11" x14ac:dyDescent="0.2">
      <c r="B12" t="s">
        <v>19</v>
      </c>
      <c r="C12">
        <v>232</v>
      </c>
      <c r="D12">
        <f t="shared" si="0"/>
        <v>417.6</v>
      </c>
      <c r="E12">
        <v>402</v>
      </c>
      <c r="F12">
        <f t="shared" si="1"/>
        <v>-15.600000000000023</v>
      </c>
      <c r="G12">
        <f t="shared" si="2"/>
        <v>-13</v>
      </c>
      <c r="H12">
        <f t="shared" si="3"/>
        <v>219</v>
      </c>
    </row>
    <row r="13" spans="1:11" x14ac:dyDescent="0.2">
      <c r="B13" t="s">
        <v>20</v>
      </c>
      <c r="C13">
        <v>184</v>
      </c>
      <c r="D13">
        <f t="shared" si="0"/>
        <v>331.2</v>
      </c>
      <c r="E13">
        <v>447</v>
      </c>
      <c r="F13">
        <f t="shared" si="1"/>
        <v>115.80000000000001</v>
      </c>
      <c r="G13">
        <f t="shared" si="2"/>
        <v>97</v>
      </c>
      <c r="H13">
        <f t="shared" si="3"/>
        <v>281</v>
      </c>
    </row>
    <row r="14" spans="1:11" x14ac:dyDescent="0.2">
      <c r="B14" t="s">
        <v>21</v>
      </c>
      <c r="C14">
        <v>134</v>
      </c>
      <c r="D14">
        <f t="shared" si="0"/>
        <v>241.20000000000002</v>
      </c>
      <c r="E14">
        <v>220</v>
      </c>
      <c r="F14">
        <f t="shared" si="1"/>
        <v>-21.200000000000017</v>
      </c>
      <c r="G14">
        <f t="shared" si="2"/>
        <v>-18</v>
      </c>
      <c r="H14">
        <f t="shared" si="3"/>
        <v>116</v>
      </c>
    </row>
    <row r="15" spans="1:11" x14ac:dyDescent="0.2">
      <c r="B15" t="s">
        <v>22</v>
      </c>
      <c r="C15">
        <v>184</v>
      </c>
      <c r="D15">
        <f t="shared" si="0"/>
        <v>331.2</v>
      </c>
      <c r="E15">
        <v>383</v>
      </c>
      <c r="F15">
        <f t="shared" si="1"/>
        <v>51.800000000000011</v>
      </c>
      <c r="G15">
        <f t="shared" si="2"/>
        <v>43</v>
      </c>
      <c r="H15">
        <f t="shared" si="3"/>
        <v>227</v>
      </c>
    </row>
    <row r="16" spans="1:11" x14ac:dyDescent="0.2">
      <c r="B16" t="s">
        <v>23</v>
      </c>
      <c r="C16">
        <v>737</v>
      </c>
      <c r="D16">
        <f t="shared" si="0"/>
        <v>1326.6000000000001</v>
      </c>
      <c r="E16">
        <v>1293</v>
      </c>
      <c r="F16">
        <f t="shared" si="1"/>
        <v>-33.600000000000136</v>
      </c>
      <c r="G16">
        <f t="shared" si="2"/>
        <v>-28</v>
      </c>
      <c r="H16">
        <f t="shared" si="3"/>
        <v>709</v>
      </c>
    </row>
    <row r="17" spans="2:8" x14ac:dyDescent="0.2">
      <c r="B17" t="s">
        <v>25</v>
      </c>
      <c r="C17">
        <v>294</v>
      </c>
      <c r="D17">
        <f t="shared" si="0"/>
        <v>529.20000000000005</v>
      </c>
      <c r="E17">
        <v>698</v>
      </c>
      <c r="F17">
        <f t="shared" si="1"/>
        <v>168.79999999999995</v>
      </c>
      <c r="G17">
        <f t="shared" si="2"/>
        <v>141</v>
      </c>
      <c r="H17">
        <f t="shared" si="3"/>
        <v>435</v>
      </c>
    </row>
    <row r="18" spans="2:8" x14ac:dyDescent="0.2">
      <c r="B18" t="s">
        <v>33</v>
      </c>
      <c r="C18">
        <v>110</v>
      </c>
      <c r="D18">
        <f t="shared" si="0"/>
        <v>198</v>
      </c>
      <c r="E18">
        <v>312</v>
      </c>
      <c r="F18">
        <f t="shared" si="1"/>
        <v>114</v>
      </c>
      <c r="G18">
        <f t="shared" si="2"/>
        <v>95</v>
      </c>
      <c r="H18">
        <f t="shared" si="3"/>
        <v>205</v>
      </c>
    </row>
    <row r="19" spans="2:8" x14ac:dyDescent="0.2">
      <c r="B19" t="s">
        <v>34</v>
      </c>
      <c r="C19">
        <v>184</v>
      </c>
      <c r="D19">
        <f t="shared" si="0"/>
        <v>331.2</v>
      </c>
      <c r="E19">
        <v>428</v>
      </c>
      <c r="F19">
        <f t="shared" si="1"/>
        <v>96.800000000000011</v>
      </c>
      <c r="G19">
        <f t="shared" si="2"/>
        <v>81</v>
      </c>
      <c r="H19">
        <f t="shared" si="3"/>
        <v>265</v>
      </c>
    </row>
    <row r="20" spans="2:8" x14ac:dyDescent="0.2">
      <c r="B20" t="s">
        <v>35</v>
      </c>
      <c r="C20">
        <v>114</v>
      </c>
      <c r="D20">
        <f t="shared" si="0"/>
        <v>205.20000000000002</v>
      </c>
      <c r="E20">
        <v>293</v>
      </c>
      <c r="F20">
        <f t="shared" si="1"/>
        <v>87.799999999999983</v>
      </c>
      <c r="G20">
        <f t="shared" si="2"/>
        <v>73</v>
      </c>
      <c r="H20">
        <f t="shared" si="3"/>
        <v>187</v>
      </c>
    </row>
    <row r="21" spans="2:8" x14ac:dyDescent="0.2">
      <c r="B21" t="s">
        <v>27</v>
      </c>
      <c r="C21">
        <v>102</v>
      </c>
      <c r="D21">
        <f t="shared" si="0"/>
        <v>183.6</v>
      </c>
      <c r="E21">
        <v>375</v>
      </c>
      <c r="F21">
        <f t="shared" si="1"/>
        <v>191.4</v>
      </c>
      <c r="G21">
        <f t="shared" si="2"/>
        <v>160</v>
      </c>
      <c r="H21">
        <f t="shared" si="3"/>
        <v>262</v>
      </c>
    </row>
    <row r="22" spans="2:8" x14ac:dyDescent="0.2">
      <c r="B22" t="s">
        <v>29</v>
      </c>
      <c r="C22">
        <v>156</v>
      </c>
      <c r="D22">
        <f t="shared" si="0"/>
        <v>280.8</v>
      </c>
      <c r="E22">
        <v>317</v>
      </c>
      <c r="F22">
        <f t="shared" si="1"/>
        <v>36.199999999999989</v>
      </c>
      <c r="G22">
        <f t="shared" si="2"/>
        <v>30</v>
      </c>
      <c r="H22">
        <f t="shared" si="3"/>
        <v>186</v>
      </c>
    </row>
    <row r="23" spans="2:8" x14ac:dyDescent="0.2">
      <c r="B23" t="s">
        <v>8</v>
      </c>
      <c r="C23">
        <f>SUM(C4:C9)</f>
        <v>1087</v>
      </c>
      <c r="D23">
        <f>$J$4*C23</f>
        <v>1956.6000000000001</v>
      </c>
      <c r="E23">
        <f>SUM(E4:E9)</f>
        <v>2954</v>
      </c>
      <c r="F23">
        <f>E23-D23</f>
        <v>997.39999999999986</v>
      </c>
      <c r="G23">
        <f>ROUND(F23/$K$4,0)</f>
        <v>831</v>
      </c>
      <c r="H23">
        <f>C23+G23</f>
        <v>1918</v>
      </c>
    </row>
    <row r="24" spans="2:8" x14ac:dyDescent="0.2">
      <c r="B24" t="s">
        <v>18</v>
      </c>
      <c r="C24">
        <f>SUM(C10:C11)</f>
        <v>256</v>
      </c>
      <c r="D24">
        <f>$J$4*C24</f>
        <v>460.8</v>
      </c>
      <c r="E24">
        <f>SUM(E10:E11)</f>
        <v>916</v>
      </c>
      <c r="F24">
        <f>E24-D24</f>
        <v>455.2</v>
      </c>
      <c r="G24">
        <f>ROUND(F24/$K$4,0)</f>
        <v>379</v>
      </c>
      <c r="H24">
        <f>C24+G24</f>
        <v>635</v>
      </c>
    </row>
    <row r="25" spans="2:8" x14ac:dyDescent="0.2">
      <c r="B25" t="s">
        <v>24</v>
      </c>
      <c r="C25">
        <f>SUM(C12:C16)</f>
        <v>1471</v>
      </c>
      <c r="D25">
        <f>$J$4*C25</f>
        <v>2647.8</v>
      </c>
      <c r="E25">
        <f>SUM(E12:E16)</f>
        <v>2745</v>
      </c>
      <c r="F25">
        <f>E25-D25</f>
        <v>97.199999999999818</v>
      </c>
      <c r="G25">
        <f>ROUND(F25/$K$4,0)</f>
        <v>81</v>
      </c>
      <c r="H25">
        <f>C25+G25</f>
        <v>1552</v>
      </c>
    </row>
    <row r="26" spans="2:8" x14ac:dyDescent="0.2">
      <c r="B26" t="s">
        <v>26</v>
      </c>
      <c r="C26">
        <f>SUM(C17:C19)</f>
        <v>588</v>
      </c>
      <c r="D26">
        <f>$J$4*C26</f>
        <v>1058.4000000000001</v>
      </c>
      <c r="E26">
        <f>SUM(E17:E19)</f>
        <v>1438</v>
      </c>
      <c r="F26">
        <f>E26-D26</f>
        <v>379.59999999999991</v>
      </c>
      <c r="G26">
        <f>ROUND(F26/$K$4,0)</f>
        <v>316</v>
      </c>
      <c r="H26">
        <f>C26+G26</f>
        <v>904</v>
      </c>
    </row>
    <row r="27" spans="2:8" x14ac:dyDescent="0.2">
      <c r="B27" t="s">
        <v>28</v>
      </c>
      <c r="C27">
        <f>SUM(C20:C22)</f>
        <v>372</v>
      </c>
      <c r="D27">
        <f>$J$4*C27</f>
        <v>669.6</v>
      </c>
      <c r="E27">
        <f>SUM(E20:E22)</f>
        <v>985</v>
      </c>
      <c r="F27">
        <f>E27-D27</f>
        <v>315.39999999999998</v>
      </c>
      <c r="G27">
        <f>ROUND(F27/$K$4,0)</f>
        <v>263</v>
      </c>
      <c r="H27">
        <f>C27+G27</f>
        <v>635</v>
      </c>
    </row>
    <row r="28" spans="2:8" x14ac:dyDescent="0.2">
      <c r="B28" t="s">
        <v>32</v>
      </c>
      <c r="C28">
        <f>C23+C24+C25+C26+C27</f>
        <v>3774</v>
      </c>
      <c r="D28">
        <f t="shared" si="0"/>
        <v>6793.2</v>
      </c>
      <c r="E28">
        <f>E23+E24+E25+E26+E27</f>
        <v>9038</v>
      </c>
      <c r="F28">
        <f t="shared" si="1"/>
        <v>2244.8000000000002</v>
      </c>
      <c r="G28">
        <f t="shared" si="2"/>
        <v>1871</v>
      </c>
      <c r="H28">
        <f t="shared" si="3"/>
        <v>5645</v>
      </c>
    </row>
    <row r="33" spans="1:8" x14ac:dyDescent="0.2">
      <c r="A33" t="s">
        <v>31</v>
      </c>
      <c r="B33" t="s">
        <v>0</v>
      </c>
      <c r="C33" t="s">
        <v>1</v>
      </c>
      <c r="D33" t="s">
        <v>14</v>
      </c>
      <c r="E33" t="s">
        <v>10</v>
      </c>
      <c r="F33" t="s">
        <v>11</v>
      </c>
      <c r="G33" t="s">
        <v>9</v>
      </c>
      <c r="H33" t="s">
        <v>15</v>
      </c>
    </row>
    <row r="34" spans="1:8" x14ac:dyDescent="0.2">
      <c r="B34" t="s">
        <v>2</v>
      </c>
      <c r="C34">
        <v>204</v>
      </c>
      <c r="D34">
        <f>$J$4*C34</f>
        <v>367.2</v>
      </c>
      <c r="E34">
        <v>550</v>
      </c>
      <c r="F34">
        <f>E34-D34</f>
        <v>182.8</v>
      </c>
      <c r="G34">
        <f>ROUND(F34/$K$4,0)</f>
        <v>152</v>
      </c>
      <c r="H34">
        <f>C34+G34</f>
        <v>356</v>
      </c>
    </row>
    <row r="35" spans="1:8" x14ac:dyDescent="0.2">
      <c r="B35" t="s">
        <v>3</v>
      </c>
      <c r="C35">
        <v>114</v>
      </c>
      <c r="D35">
        <f t="shared" ref="D35:D58" si="4">$J$4*C35</f>
        <v>205.20000000000002</v>
      </c>
      <c r="E35">
        <v>347</v>
      </c>
      <c r="F35">
        <f t="shared" ref="F35:F58" si="5">E35-D35</f>
        <v>141.79999999999998</v>
      </c>
      <c r="G35">
        <f t="shared" ref="G35:G58" si="6">ROUND(F35/$K$4,0)</f>
        <v>118</v>
      </c>
      <c r="H35">
        <f t="shared" ref="H35:H58" si="7">C35+G35</f>
        <v>232</v>
      </c>
    </row>
    <row r="36" spans="1:8" x14ac:dyDescent="0.2">
      <c r="B36" t="s">
        <v>4</v>
      </c>
      <c r="C36">
        <v>136</v>
      </c>
      <c r="D36">
        <f>$J$4*C36</f>
        <v>244.8</v>
      </c>
      <c r="E36">
        <v>430</v>
      </c>
      <c r="F36">
        <f t="shared" si="5"/>
        <v>185.2</v>
      </c>
      <c r="G36">
        <f t="shared" si="6"/>
        <v>154</v>
      </c>
      <c r="H36">
        <f t="shared" si="7"/>
        <v>290</v>
      </c>
    </row>
    <row r="37" spans="1:8" x14ac:dyDescent="0.2">
      <c r="B37" t="s">
        <v>5</v>
      </c>
      <c r="C37">
        <v>180</v>
      </c>
      <c r="D37">
        <f t="shared" si="4"/>
        <v>324</v>
      </c>
      <c r="E37">
        <v>478</v>
      </c>
      <c r="F37">
        <f t="shared" si="5"/>
        <v>154</v>
      </c>
      <c r="G37">
        <f t="shared" si="6"/>
        <v>128</v>
      </c>
      <c r="H37">
        <f t="shared" si="7"/>
        <v>308</v>
      </c>
    </row>
    <row r="38" spans="1:8" x14ac:dyDescent="0.2">
      <c r="B38" t="s">
        <v>6</v>
      </c>
      <c r="C38">
        <v>126</v>
      </c>
      <c r="D38">
        <f t="shared" si="4"/>
        <v>226.8</v>
      </c>
      <c r="E38">
        <v>384</v>
      </c>
      <c r="F38">
        <f t="shared" si="5"/>
        <v>157.19999999999999</v>
      </c>
      <c r="G38">
        <f t="shared" si="6"/>
        <v>131</v>
      </c>
      <c r="H38">
        <f t="shared" si="7"/>
        <v>257</v>
      </c>
    </row>
    <row r="39" spans="1:8" x14ac:dyDescent="0.2">
      <c r="B39" t="s">
        <v>7</v>
      </c>
      <c r="C39">
        <v>401</v>
      </c>
      <c r="D39">
        <f t="shared" si="4"/>
        <v>721.80000000000007</v>
      </c>
      <c r="E39">
        <v>765</v>
      </c>
      <c r="F39">
        <f t="shared" si="5"/>
        <v>43.199999999999932</v>
      </c>
      <c r="G39">
        <f t="shared" si="6"/>
        <v>36</v>
      </c>
      <c r="H39">
        <f t="shared" si="7"/>
        <v>437</v>
      </c>
    </row>
    <row r="40" spans="1:8" x14ac:dyDescent="0.2">
      <c r="B40" t="s">
        <v>16</v>
      </c>
      <c r="C40">
        <v>162</v>
      </c>
      <c r="D40">
        <f t="shared" si="4"/>
        <v>291.60000000000002</v>
      </c>
      <c r="E40">
        <v>458</v>
      </c>
      <c r="F40">
        <f t="shared" si="5"/>
        <v>166.39999999999998</v>
      </c>
      <c r="G40">
        <f t="shared" si="6"/>
        <v>139</v>
      </c>
      <c r="H40">
        <f t="shared" si="7"/>
        <v>301</v>
      </c>
    </row>
    <row r="41" spans="1:8" x14ac:dyDescent="0.2">
      <c r="B41" t="s">
        <v>17</v>
      </c>
      <c r="C41">
        <v>162</v>
      </c>
      <c r="D41">
        <f t="shared" si="4"/>
        <v>291.60000000000002</v>
      </c>
      <c r="E41">
        <v>458</v>
      </c>
      <c r="F41">
        <f t="shared" si="5"/>
        <v>166.39999999999998</v>
      </c>
      <c r="G41">
        <f t="shared" si="6"/>
        <v>139</v>
      </c>
      <c r="H41">
        <f t="shared" si="7"/>
        <v>301</v>
      </c>
    </row>
    <row r="42" spans="1:8" x14ac:dyDescent="0.2">
      <c r="B42" t="s">
        <v>19</v>
      </c>
      <c r="C42">
        <v>232</v>
      </c>
      <c r="D42">
        <f t="shared" si="4"/>
        <v>417.6</v>
      </c>
      <c r="E42">
        <v>402</v>
      </c>
      <c r="F42">
        <f t="shared" si="5"/>
        <v>-15.600000000000023</v>
      </c>
      <c r="G42">
        <f t="shared" si="6"/>
        <v>-13</v>
      </c>
      <c r="H42">
        <f t="shared" si="7"/>
        <v>219</v>
      </c>
    </row>
    <row r="43" spans="1:8" x14ac:dyDescent="0.2">
      <c r="B43" t="s">
        <v>20</v>
      </c>
      <c r="C43">
        <v>184</v>
      </c>
      <c r="D43">
        <f t="shared" si="4"/>
        <v>331.2</v>
      </c>
      <c r="E43">
        <v>447</v>
      </c>
      <c r="F43">
        <f t="shared" si="5"/>
        <v>115.80000000000001</v>
      </c>
      <c r="G43">
        <f t="shared" si="6"/>
        <v>97</v>
      </c>
      <c r="H43">
        <f t="shared" si="7"/>
        <v>281</v>
      </c>
    </row>
    <row r="44" spans="1:8" x14ac:dyDescent="0.2">
      <c r="B44" t="s">
        <v>21</v>
      </c>
      <c r="C44">
        <v>134</v>
      </c>
      <c r="D44">
        <f t="shared" si="4"/>
        <v>241.20000000000002</v>
      </c>
      <c r="E44">
        <v>220</v>
      </c>
      <c r="F44">
        <f t="shared" si="5"/>
        <v>-21.200000000000017</v>
      </c>
      <c r="G44">
        <f t="shared" si="6"/>
        <v>-18</v>
      </c>
      <c r="H44">
        <f t="shared" si="7"/>
        <v>116</v>
      </c>
    </row>
    <row r="45" spans="1:8" x14ac:dyDescent="0.2">
      <c r="B45" t="s">
        <v>22</v>
      </c>
      <c r="C45">
        <v>184</v>
      </c>
      <c r="D45">
        <f t="shared" si="4"/>
        <v>331.2</v>
      </c>
      <c r="E45">
        <v>383</v>
      </c>
      <c r="F45">
        <f t="shared" si="5"/>
        <v>51.800000000000011</v>
      </c>
      <c r="G45">
        <f t="shared" si="6"/>
        <v>43</v>
      </c>
      <c r="H45">
        <f t="shared" si="7"/>
        <v>227</v>
      </c>
    </row>
    <row r="46" spans="1:8" x14ac:dyDescent="0.2">
      <c r="B46" t="s">
        <v>23</v>
      </c>
      <c r="C46">
        <v>737</v>
      </c>
      <c r="D46">
        <f t="shared" si="4"/>
        <v>1326.6000000000001</v>
      </c>
      <c r="E46">
        <v>1293</v>
      </c>
      <c r="F46">
        <f t="shared" si="5"/>
        <v>-33.600000000000136</v>
      </c>
      <c r="G46">
        <f t="shared" si="6"/>
        <v>-28</v>
      </c>
      <c r="H46">
        <f t="shared" si="7"/>
        <v>709</v>
      </c>
    </row>
    <row r="47" spans="1:8" x14ac:dyDescent="0.2">
      <c r="B47" t="s">
        <v>25</v>
      </c>
      <c r="C47">
        <v>232</v>
      </c>
      <c r="D47">
        <f t="shared" si="4"/>
        <v>417.6</v>
      </c>
      <c r="E47">
        <v>698</v>
      </c>
      <c r="F47">
        <f t="shared" si="5"/>
        <v>280.39999999999998</v>
      </c>
      <c r="G47">
        <f t="shared" si="6"/>
        <v>234</v>
      </c>
      <c r="H47">
        <f t="shared" si="7"/>
        <v>466</v>
      </c>
    </row>
    <row r="48" spans="1:8" x14ac:dyDescent="0.2">
      <c r="B48" t="s">
        <v>33</v>
      </c>
      <c r="C48">
        <v>612</v>
      </c>
      <c r="D48">
        <f t="shared" si="4"/>
        <v>1101.6000000000001</v>
      </c>
      <c r="E48">
        <v>680</v>
      </c>
      <c r="F48">
        <f t="shared" si="5"/>
        <v>-421.60000000000014</v>
      </c>
      <c r="G48">
        <f t="shared" si="6"/>
        <v>-351</v>
      </c>
      <c r="H48">
        <f t="shared" si="7"/>
        <v>261</v>
      </c>
    </row>
    <row r="49" spans="2:8" x14ac:dyDescent="0.2">
      <c r="B49" t="s">
        <v>34</v>
      </c>
      <c r="C49">
        <v>608</v>
      </c>
      <c r="D49">
        <f t="shared" si="4"/>
        <v>1094.4000000000001</v>
      </c>
      <c r="E49">
        <v>1273</v>
      </c>
      <c r="F49">
        <f t="shared" si="5"/>
        <v>178.59999999999991</v>
      </c>
      <c r="G49">
        <f t="shared" si="6"/>
        <v>149</v>
      </c>
      <c r="H49">
        <f t="shared" si="7"/>
        <v>757</v>
      </c>
    </row>
    <row r="50" spans="2:8" x14ac:dyDescent="0.2">
      <c r="B50" t="s">
        <v>35</v>
      </c>
      <c r="C50">
        <v>109</v>
      </c>
      <c r="D50">
        <f t="shared" si="4"/>
        <v>196.20000000000002</v>
      </c>
      <c r="E50">
        <v>293</v>
      </c>
      <c r="F50">
        <f t="shared" si="5"/>
        <v>96.799999999999983</v>
      </c>
      <c r="G50">
        <f t="shared" si="6"/>
        <v>81</v>
      </c>
      <c r="H50">
        <f t="shared" si="7"/>
        <v>190</v>
      </c>
    </row>
    <row r="51" spans="2:8" x14ac:dyDescent="0.2">
      <c r="B51" t="s">
        <v>27</v>
      </c>
      <c r="C51">
        <v>185</v>
      </c>
      <c r="D51">
        <f t="shared" si="4"/>
        <v>333</v>
      </c>
      <c r="E51">
        <v>375</v>
      </c>
      <c r="F51">
        <f t="shared" si="5"/>
        <v>42</v>
      </c>
      <c r="G51">
        <f t="shared" si="6"/>
        <v>35</v>
      </c>
      <c r="H51">
        <f t="shared" si="7"/>
        <v>220</v>
      </c>
    </row>
    <row r="52" spans="2:8" x14ac:dyDescent="0.2">
      <c r="B52" t="s">
        <v>29</v>
      </c>
      <c r="C52">
        <v>130</v>
      </c>
      <c r="D52">
        <f t="shared" si="4"/>
        <v>234</v>
      </c>
      <c r="E52">
        <v>317</v>
      </c>
      <c r="F52">
        <f t="shared" si="5"/>
        <v>83</v>
      </c>
      <c r="G52">
        <f t="shared" si="6"/>
        <v>69</v>
      </c>
      <c r="H52">
        <f t="shared" si="7"/>
        <v>199</v>
      </c>
    </row>
    <row r="53" spans="2:8" x14ac:dyDescent="0.2">
      <c r="B53" t="s">
        <v>8</v>
      </c>
      <c r="C53">
        <f>SUM(C34:C39)</f>
        <v>1161</v>
      </c>
      <c r="D53">
        <f>$J$4*C53</f>
        <v>2089.8000000000002</v>
      </c>
      <c r="E53">
        <f>SUM(E34:E39)</f>
        <v>2954</v>
      </c>
      <c r="F53">
        <f>E53-D53</f>
        <v>864.19999999999982</v>
      </c>
      <c r="G53">
        <f>ROUND(F53/$K$4,0)</f>
        <v>720</v>
      </c>
      <c r="H53">
        <f>C53+G53</f>
        <v>1881</v>
      </c>
    </row>
    <row r="54" spans="2:8" x14ac:dyDescent="0.2">
      <c r="B54" t="s">
        <v>18</v>
      </c>
      <c r="C54">
        <f>SUM(C40:C41)</f>
        <v>324</v>
      </c>
      <c r="D54">
        <f>$J$4*C54</f>
        <v>583.20000000000005</v>
      </c>
      <c r="E54">
        <f>SUM(E40:E41)</f>
        <v>916</v>
      </c>
      <c r="F54">
        <f>E54-D54</f>
        <v>332.79999999999995</v>
      </c>
      <c r="G54">
        <f>ROUND(F54/$K$4,0)</f>
        <v>277</v>
      </c>
      <c r="H54">
        <f>C54+G54</f>
        <v>601</v>
      </c>
    </row>
    <row r="55" spans="2:8" x14ac:dyDescent="0.2">
      <c r="B55" t="s">
        <v>24</v>
      </c>
      <c r="C55">
        <f>SUM(C42:C46)</f>
        <v>1471</v>
      </c>
      <c r="D55">
        <f>$J$4*C55</f>
        <v>2647.8</v>
      </c>
      <c r="E55">
        <f>SUM(E42:E46)</f>
        <v>2745</v>
      </c>
      <c r="F55">
        <f>E55-D55</f>
        <v>97.199999999999818</v>
      </c>
      <c r="G55">
        <f>ROUND(F55/$K$4,0)</f>
        <v>81</v>
      </c>
      <c r="H55">
        <f>C55+G55</f>
        <v>1552</v>
      </c>
    </row>
    <row r="56" spans="2:8" x14ac:dyDescent="0.2">
      <c r="B56" t="s">
        <v>26</v>
      </c>
      <c r="C56">
        <f>SUM(C47:C49)</f>
        <v>1452</v>
      </c>
      <c r="D56">
        <f>$J$4*C56</f>
        <v>2613.6</v>
      </c>
      <c r="E56">
        <f>SUM(E47:E49)</f>
        <v>2651</v>
      </c>
      <c r="F56">
        <f>E56-D56</f>
        <v>37.400000000000091</v>
      </c>
      <c r="G56">
        <f>ROUND(F56/$K$4,0)</f>
        <v>31</v>
      </c>
      <c r="H56">
        <f>C56+G56</f>
        <v>1483</v>
      </c>
    </row>
    <row r="57" spans="2:8" x14ac:dyDescent="0.2">
      <c r="B57" t="s">
        <v>28</v>
      </c>
      <c r="C57">
        <f>SUM(C50:C52)</f>
        <v>424</v>
      </c>
      <c r="D57">
        <f t="shared" si="4"/>
        <v>763.2</v>
      </c>
      <c r="E57">
        <f>SUM(E50:E52)</f>
        <v>985</v>
      </c>
      <c r="F57">
        <f t="shared" si="5"/>
        <v>221.79999999999995</v>
      </c>
      <c r="G57">
        <f t="shared" si="6"/>
        <v>185</v>
      </c>
      <c r="H57">
        <f t="shared" si="7"/>
        <v>609</v>
      </c>
    </row>
    <row r="58" spans="2:8" x14ac:dyDescent="0.2">
      <c r="B58" t="s">
        <v>32</v>
      </c>
      <c r="C58">
        <f>C53+C54+C55+C56+C57</f>
        <v>4832</v>
      </c>
      <c r="D58">
        <f t="shared" si="4"/>
        <v>8697.6</v>
      </c>
      <c r="E58">
        <f>E53+E54+E55+E56+E57</f>
        <v>10251</v>
      </c>
      <c r="F58">
        <f t="shared" si="5"/>
        <v>1553.3999999999996</v>
      </c>
      <c r="G58">
        <f t="shared" si="6"/>
        <v>1295</v>
      </c>
      <c r="H58">
        <f t="shared" si="7"/>
        <v>6127</v>
      </c>
    </row>
  </sheetData>
  <pageMargins left="0.7" right="0.7" top="0.75" bottom="0.75" header="0.3" footer="0.3"/>
  <headerFooter>
    <oddFooter>&amp;C_x000D_&amp;1#&amp;"Calibri"&amp;10&amp;K000000 Interne</oddFooter>
  </headerFooter>
</worksheet>
</file>

<file path=docMetadata/LabelInfo.xml><?xml version="1.0" encoding="utf-8"?>
<clbl:labelList xmlns:clbl="http://schemas.microsoft.com/office/2020/mipLabelMetadata">
  <clbl:label id="{9245f7fe-e0c6-42bf-9fe5-b231b4c665b0}" enabled="1" method="Privileged" siteId="{aa37793b-9ab7-4b00-b120-a87f8588dd8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SCHNEUWLY Bastien</dc:creator>
  <cp:lastModifiedBy>SCHNEUWLY Bastien</cp:lastModifiedBy>
  <dcterms:created xsi:type="dcterms:W3CDTF">2025-05-12T10:12:23Z</dcterms:created>
  <dcterms:modified xsi:type="dcterms:W3CDTF">2025-06-04T14:38:38Z</dcterms:modified>
</cp:coreProperties>
</file>